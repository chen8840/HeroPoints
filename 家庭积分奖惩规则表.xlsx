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家庭积分奖惩规则表" sheetId="2" r:id="rId1"/>
    <sheet name="积分兑换方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<sst xmlns="http://schemas.openxmlformats.org/spreadsheetml/2006/main" count="89" uniqueCount="88">
  <si>
    <t>家庭积分奖惩规则表</t>
  </si>
  <si>
    <t>项目</t>
  </si>
  <si>
    <t>具体事项</t>
  </si>
  <si>
    <t>积分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</si>
  <si>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</si>
  <si>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</si>
  <si>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</si>
  <si>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</si>
  <si>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</si>
  <si>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</si>
  <si>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</si>
  <si>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</si>
  <si>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</si>
  <si>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</si>
  <si>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</si>
  <si>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</si>
  <si>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</si>
  <si>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</si>
  <si>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</si>
  <si>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</si>
  <si>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</si>
  <si>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</si>
  <si>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</si>
  <si>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</si>
  <si>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</si>
  <si>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</si>
  <si>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</si>
  <si>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</si>
  <si>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</si>
  <si>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</si>
  <si>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</si>
  <si>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</si>
  <si>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</si>
  <si>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</si>
  <si>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</si>
  <si>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生活习惯</t>
  </si>
  <si>
    <t>7:20按时起床</t>
  </si>
  <si>
    <t>22：00前上床睡觉</t>
  </si>
  <si>
    <t>少吃零食，多吃饭、不浪费</t>
  </si>
  <si>
    <r>
      <t>每天跳绳</t>
    </r>
    <r>
      <rPr>
        <sz val="10"/>
        <color rgb="FF000000"/>
        <rFont val="DejaVu Sans"/>
        <charset val="134"/>
      </rPr>
      <t>200</t>
    </r>
    <r>
      <rPr>
        <sz val="10"/>
        <color rgb="FF000000"/>
        <rFont val="微软雅黑"/>
        <charset val="134"/>
      </rPr>
      <t>个</t>
    </r>
  </si>
  <si>
    <r>
      <t>每天跳绳</t>
    </r>
    <r>
      <rPr>
        <sz val="10"/>
        <color rgb="FF000000"/>
        <rFont val="DejaVu Sans"/>
        <charset val="134"/>
      </rPr>
      <t>300</t>
    </r>
    <r>
      <rPr>
        <sz val="10"/>
        <color rgb="FF000000"/>
        <rFont val="微软雅黑"/>
        <charset val="134"/>
      </rPr>
      <t>个</t>
    </r>
  </si>
  <si>
    <t>房间个人物品摆放好,书桌摆放整齐</t>
  </si>
  <si>
    <t>自己的事情自己做</t>
  </si>
  <si>
    <t>有礼貌、不乱发脾气，不撒谎</t>
  </si>
  <si>
    <t>做事不拖拉，听到指令立马行动</t>
  </si>
  <si>
    <t>学习习惯</t>
  </si>
  <si>
    <t>早上坚持英语磨耳朵</t>
  </si>
  <si>
    <t>每日完成英格艾嘉发布任务</t>
  </si>
  <si>
    <t>书桌摆放整齐，写作业时没有与学习无关的用品</t>
  </si>
  <si>
    <t>写作业认真，不打野，独立思考，</t>
  </si>
  <si>
    <t>作业途中不下位，不上厕所，不喝水，不讲话</t>
  </si>
  <si>
    <t>端正坐姿、字迹工整</t>
  </si>
  <si>
    <t>坚持每日背,默单词，朗读课文</t>
  </si>
  <si>
    <t>学习后整理自己书桌、书包</t>
  </si>
  <si>
    <t>坚持课外阅读20分钟</t>
  </si>
  <si>
    <t>坚持每日口算</t>
  </si>
  <si>
    <t>加分项</t>
  </si>
  <si>
    <t>考试有进步</t>
  </si>
  <si>
    <t>期末考试数学，英语95分以上（单科50分）</t>
  </si>
  <si>
    <t>听写、计算全对</t>
  </si>
  <si>
    <t>扣分项</t>
  </si>
  <si>
    <t>上学迟到；被老师点名批评（包括英格爱嘉，篮球课）</t>
  </si>
  <si>
    <t>作业未完成</t>
  </si>
  <si>
    <t>说谎、打人、说脏话、沉迷游戏</t>
  </si>
  <si>
    <t>乱发脾气、不讲道理</t>
  </si>
  <si>
    <t>不听大人话、惹大人生气</t>
  </si>
  <si>
    <t>周一到周四看电视/平板</t>
  </si>
  <si>
    <t>积分小计</t>
  </si>
  <si>
    <t>月积分总计：</t>
  </si>
  <si>
    <t>兑换使用：</t>
  </si>
  <si>
    <t xml:space="preserve">    分，  积分月份：    年    月。</t>
  </si>
  <si>
    <t>PS: 每月兑换一次奖罚卡，兑换后如有零头可累积到下次！（每天在对应事项格内打“√”即按基准分自动计入当日积分）</t>
  </si>
  <si>
    <t>兑换方案</t>
  </si>
  <si>
    <t>80积分</t>
  </si>
  <si>
    <t>1. 自选小零食1份（注：每周限换1次）         2. 自选小文具1份                       3. 看10分钟英语动画片</t>
  </si>
  <si>
    <t>200积分</t>
  </si>
  <si>
    <t>1. 晚睡10分钟                                            2. 自选零食3份                           3. 免口算一天</t>
  </si>
  <si>
    <t>400积分</t>
  </si>
  <si>
    <t>自选玩具一件（20元以内）</t>
  </si>
  <si>
    <t>600积分</t>
  </si>
  <si>
    <t>1.自选玩具一件（50元以内）                     2.自选小吃（50元以内）              3. Switch1小时</t>
  </si>
  <si>
    <t>800积分</t>
  </si>
  <si>
    <t>1.周末自由安排活动4小时                          2.Switch1.5小时</t>
  </si>
  <si>
    <t>1000积分</t>
  </si>
  <si>
    <t>自选一份大餐（自己选餐厅）</t>
  </si>
  <si>
    <t>兑换规则：</t>
  </si>
  <si>
    <t>1、积分累计不清零，每周日统一兑换，也可以继续攒分不兑换。</t>
  </si>
  <si>
    <t>2.  80积分每周只可兑换一次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</si>
</sst>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C00000"/>
      <name val="微软雅黑"/>
      <charset val="134"/>
    </font>
    <font>
      <i/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DejaVu Sans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2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/>
    <xf numFmtId="0" fontId="3" fillId="0" borderId="5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 applyAlignment="1"/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right" vertical="center"/>
    </xf>
    <xf numFmtId="0" fontId="3" fillId="8" borderId="3" xfId="0" applyFont="1" applyFill="1" applyBorder="1" applyAlignment="1"/>
    <xf numFmtId="0" fontId="5" fillId="8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/>
    <xf numFmtId="0" fontId="3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143510</xdr:colOff>
      <xdr:row>6</xdr:row>
      <xdr:rowOff>133985</xdr:rowOff>
    </xdr:from>
    <xdr:to>
      <xdr:col>4</xdr:col>
      <xdr:colOff>20320</xdr:colOff>
      <xdr:row>9</xdr:row>
      <xdr:rowOff>39370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7525385" y="1353185"/>
          <a:ext cx="1248410" cy="486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34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B6" sqref="B6"/>
    </sheetView>
  </sheetViews>
  <sheetFormatPr defaultColWidth="10.75" defaultRowHeight="14.25"/>
  <cols>
    <col min="1" max="1" width="10.75" style="5" customWidth="1"/>
    <col min="2" max="2" width="51.125" style="5" customWidth="1"/>
    <col min="3" max="3" width="8" style="5" customWidth="1"/>
    <col min="4" max="34" width="5.25" style="5" customWidth="1"/>
    <col min="35" max="16384" width="10.75" style="5" customWidth="1"/>
  </cols>
  <sheetData>
    <row r="1" ht="32" customHeight="1" spans="1:34">
      <c r="A1" s="6" t="s">
        <v>0</v>
      </c>
    </row>
    <row r="2" ht="24" customHeight="1" spans="1:34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</row>
    <row r="3" ht="26" customHeight="1" spans="1:34">
      <c r="A3" s="8" t="s">
        <v>35</v>
      </c>
      <c r="B3" s="9" t="s">
        <v>36</v>
      </c>
      <c r="C3" s="10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ht="26" customHeight="1" spans="1:34">
      <c r="A4" s="11"/>
      <c r="B4" s="9" t="s">
        <v>37</v>
      </c>
      <c r="C4" s="10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ht="26" customHeight="1" spans="1:34">
      <c r="A5" s="11"/>
      <c r="B5" s="9" t="s">
        <v>38</v>
      </c>
      <c r="C5" s="10">
        <v>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ht="26" customHeight="1" spans="1:34">
      <c r="A6" s="11"/>
      <c r="B6" s="9" t="s">
        <v>39</v>
      </c>
      <c r="C6" s="10">
        <v>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ht="26" customHeight="1" spans="1:34">
      <c r="A7" s="11"/>
      <c r="B7" s="9" t="s">
        <v>40</v>
      </c>
      <c r="C7" s="10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ht="26" customHeight="1" spans="1:34">
      <c r="A8" s="11"/>
      <c r="B8" s="9" t="s">
        <v>41</v>
      </c>
      <c r="C8" s="10">
        <v>2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26" customHeight="1" spans="1:34">
      <c r="A9" s="11"/>
      <c r="B9" s="9" t="s">
        <v>42</v>
      </c>
      <c r="C9" s="10">
        <v>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6" customHeight="1" spans="1:34">
      <c r="A10" s="11"/>
      <c r="B10" s="9" t="s">
        <v>43</v>
      </c>
      <c r="C10" s="10">
        <v>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6" customHeight="1" spans="1:34">
      <c r="A11" s="11"/>
      <c r="B11" s="9" t="s">
        <v>44</v>
      </c>
      <c r="C11" s="10">
        <v>5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6" customHeight="1" spans="1:34">
      <c r="A12" s="12" t="s">
        <v>45</v>
      </c>
      <c r="B12" s="13" t="s">
        <v>46</v>
      </c>
      <c r="C12" s="14">
        <v>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ht="26" customHeight="1" spans="1:34">
      <c r="A13" s="12"/>
      <c r="B13" s="13" t="s">
        <v>47</v>
      </c>
      <c r="C13" s="14">
        <v>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ht="26" customHeight="1" spans="1:34">
      <c r="A14" s="12"/>
      <c r="B14" s="13" t="s">
        <v>48</v>
      </c>
      <c r="C14" s="14">
        <v>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ht="26" customHeight="1" spans="1:34">
      <c r="A15" s="15"/>
      <c r="B15" s="13" t="s">
        <v>49</v>
      </c>
      <c r="C15" s="14">
        <v>10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ht="26" customHeight="1" spans="1:34">
      <c r="A16" s="15"/>
      <c r="B16" s="13" t="s">
        <v>50</v>
      </c>
      <c r="C16" s="14">
        <v>5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ht="26" customHeight="1" spans="1:34">
      <c r="A17" s="15"/>
      <c r="B17" s="13" t="s">
        <v>51</v>
      </c>
      <c r="C17" s="14">
        <v>10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ht="26" customHeight="1" spans="1:34">
      <c r="A18" s="15"/>
      <c r="B18" s="13" t="s">
        <v>52</v>
      </c>
      <c r="C18" s="14">
        <v>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ht="26" customHeight="1" spans="1:34">
      <c r="A19" s="15"/>
      <c r="B19" s="13" t="s">
        <v>53</v>
      </c>
      <c r="C19" s="14">
        <v>2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ht="26" customHeight="1" spans="1:34">
      <c r="A20" s="15"/>
      <c r="B20" s="13" t="s">
        <v>54</v>
      </c>
      <c r="C20" s="14">
        <v>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ht="26" customHeight="1" spans="1:34">
      <c r="A21" s="15"/>
      <c r="B21" s="13" t="s">
        <v>55</v>
      </c>
      <c r="C21" s="14">
        <v>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ht="26" customHeight="1" spans="1:34">
      <c r="A22" s="16" t="s">
        <v>56</v>
      </c>
      <c r="B22" s="17" t="s">
        <v>57</v>
      </c>
      <c r="C22" s="18">
        <v>10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ht="26" customHeight="1" spans="1:34">
      <c r="A23" s="16"/>
      <c r="B23" s="17" t="s">
        <v>58</v>
      </c>
      <c r="C23" s="18">
        <v>100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ht="26" customHeight="1" spans="1:34">
      <c r="A24" s="16"/>
      <c r="B24" s="17" t="s">
        <v>59</v>
      </c>
      <c r="C24" s="18">
        <v>10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ht="26" customHeight="1" spans="1:34">
      <c r="A25" s="19" t="s">
        <v>60</v>
      </c>
      <c r="B25" s="20" t="s">
        <v>61</v>
      </c>
      <c r="C25" s="21">
        <v>-10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 ht="26" customHeight="1" spans="1:34">
      <c r="A26" s="15"/>
      <c r="B26" s="20" t="s">
        <v>62</v>
      </c>
      <c r="C26" s="21">
        <v>-10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ht="26" customHeight="1" spans="1:34">
      <c r="A27" s="15"/>
      <c r="B27" s="20" t="s">
        <v>63</v>
      </c>
      <c r="C27" s="21">
        <v>-10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ht="26" customHeight="1" spans="1:34">
      <c r="A28" s="15"/>
      <c r="B28" s="20" t="s">
        <v>64</v>
      </c>
      <c r="C28" s="21">
        <v>-10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ht="26" customHeight="1" spans="1:34">
      <c r="A29" s="15"/>
      <c r="B29" s="20" t="s">
        <v>65</v>
      </c>
      <c r="C29" s="21">
        <v>-10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ht="26" customHeight="1" spans="1:34">
      <c r="A30" s="15"/>
      <c r="B30" s="20" t="s">
        <v>66</v>
      </c>
      <c r="C30" s="21">
        <v>-10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 ht="26" customHeight="1" spans="1:34">
      <c r="A31" s="22" t="s">
        <v>67</v>
      </c>
      <c r="C31" s="23"/>
      <c r="D31" s="24" cm="1">
        <f t="array" ref="D31">SUMPRODUCT((D3:D30&lt;&gt;"")*($C$3:$C$30))</f>
        <v>0</v>
      </c>
      <c r="E31" s="24" cm="1">
        <f t="array" ref="E31">SUMPRODUCT((E3:E30&lt;&gt;"")*($C$3:$C$30))</f>
        <v>0</v>
      </c>
      <c r="F31" s="24" cm="1">
        <f t="array" ref="F31">SUMPRODUCT((F3:F30&lt;&gt;"")*($C$3:$C$30))</f>
        <v>0</v>
      </c>
      <c r="G31" s="24" cm="1">
        <f t="array" ref="G31">SUMPRODUCT((G3:G30&lt;&gt;"")*($C$3:$C$30))</f>
        <v>0</v>
      </c>
      <c r="H31" s="24" cm="1">
        <f t="array" ref="H31">SUMPRODUCT((H3:H30&lt;&gt;"")*($C$3:$C$30))</f>
        <v>0</v>
      </c>
      <c r="I31" s="24" cm="1">
        <f t="array" ref="I31">SUMPRODUCT((I3:I30&lt;&gt;"")*($C$3:$C$30))</f>
        <v>0</v>
      </c>
      <c r="J31" s="24" cm="1">
        <f t="array" ref="J31">SUMPRODUCT((J3:J30&lt;&gt;"")*($C$3:$C$30))</f>
        <v>0</v>
      </c>
      <c r="K31" s="24" cm="1">
        <f t="array" ref="K31">SUMPRODUCT((K3:K30&lt;&gt;"")*($C$3:$C$30))</f>
        <v>0</v>
      </c>
      <c r="L31" s="24" cm="1">
        <f t="array" ref="L31">SUMPRODUCT((L3:L30&lt;&gt;"")*($C$3:$C$30))</f>
        <v>0</v>
      </c>
      <c r="M31" s="24" cm="1">
        <f t="array" ref="M31">SUMPRODUCT((M3:M30&lt;&gt;"")*($C$3:$C$30))</f>
        <v>0</v>
      </c>
      <c r="N31" s="24" cm="1">
        <f t="array" ref="N31">SUMPRODUCT((N3:N30&lt;&gt;"")*($C$3:$C$30))</f>
        <v>0</v>
      </c>
      <c r="O31" s="24" cm="1">
        <f t="array" ref="O31">SUMPRODUCT((O3:O30&lt;&gt;"")*($C$3:$C$30))</f>
        <v>0</v>
      </c>
      <c r="P31" s="24" cm="1">
        <f t="array" ref="P31">SUMPRODUCT((P3:P30&lt;&gt;"")*($C$3:$C$30))</f>
        <v>0</v>
      </c>
      <c r="Q31" s="24" cm="1">
        <f t="array" ref="Q31">SUMPRODUCT((Q3:Q30&lt;&gt;"")*($C$3:$C$30))</f>
        <v>0</v>
      </c>
      <c r="R31" s="24" cm="1">
        <f t="array" ref="R31">SUMPRODUCT((R3:R30&lt;&gt;"")*($C$3:$C$30))</f>
        <v>0</v>
      </c>
      <c r="S31" s="24" cm="1">
        <f t="array" ref="S31">SUMPRODUCT((S3:S30&lt;&gt;"")*($C$3:$C$30))</f>
        <v>0</v>
      </c>
      <c r="T31" s="24" cm="1">
        <f t="array" ref="T31">SUMPRODUCT((T3:T30&lt;&gt;"")*($C$3:$C$30))</f>
        <v>0</v>
      </c>
      <c r="U31" s="24" cm="1">
        <f t="array" ref="U31">SUMPRODUCT((U3:U30&lt;&gt;"")*($C$3:$C$30))</f>
        <v>0</v>
      </c>
      <c r="V31" s="24" cm="1">
        <f t="array" ref="V31">SUMPRODUCT((V3:V30&lt;&gt;"")*($C$3:$C$30))</f>
        <v>0</v>
      </c>
      <c r="W31" s="24" cm="1">
        <f t="array" ref="W31">SUMPRODUCT((W3:W30&lt;&gt;"")*($C$3:$C$30))</f>
        <v>0</v>
      </c>
      <c r="X31" s="24" cm="1">
        <f t="array" ref="X31">SUMPRODUCT((X3:X30&lt;&gt;"")*($C$3:$C$30))</f>
        <v>0</v>
      </c>
      <c r="Y31" s="24" cm="1">
        <f t="array" ref="Y31">SUMPRODUCT((Y3:Y30&lt;&gt;"")*($C$3:$C$30))</f>
        <v>0</v>
      </c>
      <c r="Z31" s="24" cm="1">
        <f t="array" ref="Z31">SUMPRODUCT((Z3:Z30&lt;&gt;"")*($C$3:$C$30))</f>
        <v>0</v>
      </c>
      <c r="AA31" s="24" cm="1">
        <f t="array" ref="AA31">SUMPRODUCT((AA3:AA30&lt;&gt;"")*($C$3:$C$30))</f>
        <v>0</v>
      </c>
      <c r="AB31" s="24" cm="1">
        <f t="array" ref="AB31">SUMPRODUCT((AB3:AB30&lt;&gt;"")*($C$3:$C$30))</f>
        <v>0</v>
      </c>
      <c r="AC31" s="24" cm="1">
        <f t="array" ref="AC31">SUMPRODUCT((AC3:AC30&lt;&gt;"")*($C$3:$C$30))</f>
        <v>0</v>
      </c>
      <c r="AD31" s="24" cm="1">
        <f t="array" ref="AD31">SUMPRODUCT((AD3:AD30&lt;&gt;"")*($C$3:$C$30))</f>
        <v>0</v>
      </c>
      <c r="AE31" s="24" cm="1">
        <f t="array" ref="AE31">SUMPRODUCT((AE3:AE30&lt;&gt;"")*($C$3:$C$30))</f>
        <v>0</v>
      </c>
      <c r="AF31" s="24" cm="1">
        <f t="array" ref="AF31">SUMPRODUCT((AF3:AF30&lt;&gt;"")*($C$3:$C$30))</f>
        <v>0</v>
      </c>
      <c r="AG31" s="24" cm="1">
        <f t="array" ref="AG31">SUMPRODUCT((AG3:AG30&lt;&gt;"")*($C$3:$C$30))</f>
        <v>0</v>
      </c>
      <c r="AH31" s="24" cm="1">
        <f t="array" ref="AH31">SUMPRODUCT((AH3:AH30&lt;&gt;"")*($C$3:$C$30))</f>
        <v>0</v>
      </c>
    </row>
    <row r="32" ht="28" customHeight="1" spans="1:34">
      <c r="A32" s="25" t="s">
        <v>68</v>
      </c>
      <c r="B32" s="26"/>
      <c r="C32" s="26"/>
      <c r="D32" s="27">
        <f>SUM(D31:AH31)</f>
        <v>0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ht="26" customHeight="1" spans="1:34">
      <c r="A33" s="28" t="s">
        <v>69</v>
      </c>
      <c r="B33" s="29"/>
      <c r="C33" s="29"/>
      <c r="D33" s="29"/>
      <c r="E33" s="30" t="s">
        <v>70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</row>
    <row r="34" ht="24" customHeight="1" spans="1:34">
      <c r="A34" s="31" t="s">
        <v>71</v>
      </c>
    </row>
  </sheetData>
  <mergeCells count="11">
    <mergeCell ref="A1:AH1"/>
    <mergeCell ref="A31:B31"/>
    <mergeCell ref="A32:C32"/>
    <mergeCell ref="D32:AH32"/>
    <mergeCell ref="A33:D33"/>
    <mergeCell ref="E33:AH33"/>
    <mergeCell ref="A34:AH34"/>
    <mergeCell ref="A3:A11"/>
    <mergeCell ref="A12:A21"/>
    <mergeCell ref="A22:A24"/>
    <mergeCell ref="A25:A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4" sqref="B14"/>
    </sheetView>
  </sheetViews>
  <sheetFormatPr defaultColWidth="9" defaultRowHeight="14.25" outlineLevelCol="1"/>
  <cols>
    <col min="1" max="1" width="17.75" customWidth="1"/>
    <col min="2" max="2" width="79.125" customWidth="1"/>
  </cols>
  <sheetData>
    <row r="1" ht="24.75" customHeight="1" spans="1:2">
      <c r="A1" s="1" t="s">
        <v>3</v>
      </c>
      <c r="B1" s="2" t="s">
        <v>72</v>
      </c>
    </row>
    <row r="2" spans="1:2">
      <c r="A2" s="1" t="s">
        <v>73</v>
      </c>
      <c r="B2" s="1" t="s">
        <v>74</v>
      </c>
    </row>
    <row r="3" spans="1:2">
      <c r="A3" s="1" t="s">
        <v>75</v>
      </c>
      <c r="B3" s="1" t="s">
        <v>76</v>
      </c>
    </row>
    <row r="4" spans="1:2">
      <c r="A4" s="1" t="s">
        <v>77</v>
      </c>
      <c r="B4" s="1" t="s">
        <v>78</v>
      </c>
    </row>
    <row r="5" spans="1:2">
      <c r="A5" s="1" t="s">
        <v>79</v>
      </c>
      <c r="B5" s="1" t="s">
        <v>80</v>
      </c>
    </row>
    <row r="6" spans="1:2">
      <c r="A6" s="1" t="s">
        <v>81</v>
      </c>
      <c r="B6" s="1" t="s">
        <v>82</v>
      </c>
    </row>
    <row r="7" spans="1:2">
      <c r="A7" s="1" t="s">
        <v>83</v>
      </c>
      <c r="B7" s="1" t="s">
        <v>84</v>
      </c>
    </row>
    <row r="8" ht="15" customHeight="1" spans="1:2">
      <c r="A8" s="3" t="s">
        <v>85</v>
      </c>
      <c r="B8" s="3"/>
    </row>
    <row r="9" ht="16.5" customHeight="1" spans="1:2">
      <c r="A9" s="4" t="s">
        <v>86</v>
      </c>
      <c r="B9" s="4"/>
    </row>
    <row r="10" spans="1:2">
      <c r="A10" t="s">
        <v>87</v>
      </c>
    </row>
  </sheetData>
  <mergeCells count="2">
    <mergeCell ref="A8:B8"/>
    <mergeCell ref="A9:B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家庭积分奖惩规则表</vt:lpstr>
      <vt:lpstr>积分兑换方案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chengzc</cp:lastModifiedBy>
  <dcterms:created xsi:type="dcterms:W3CDTF">2026-09-29T11:38:00Z</dcterms:created>
  <dcterms:modified xsi:type="dcterms:W3CDTF">2026-10-13T10:57:02Z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{"Label":"1","ContentProducer":"001191110102MACQD9K64010000","ProduceID":"7690796191581834469","ReservedCode1":"","ContentPropagator":"","PropagateID":"","ReservedCode2":""}</vt:lpwstr>
  </property>
  <property fmtid="{D5CDD505-2E9C-101B-9397-08002B2CF9AE}" pid="3" name="ICV">
    <vt:lpwstr>B9DEAD4D252148D7BB0220DD37BFB689_12</vt:lpwstr>
  </property>
  <property fmtid="{D5CDD505-2E9C-101B-9397-08002B2CF9AE}" pid="4" name="KSOProductBuildVer">
    <vt:lpwstr>2052-12.1.2.26885</vt:lpwstr>
  </property>
  <property fmtid="{D5CDD505-2E9C-101B-9397-08002B2CF9AE}" pid="5" name="CalculationRule">
    <vt:i4>0</vt:i4>
  </property>
</Properties>
</file>